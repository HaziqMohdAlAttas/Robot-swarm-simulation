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5808681_live_warwick_ac_uk/Documents/"/>
    </mc:Choice>
  </mc:AlternateContent>
  <xr:revisionPtr revIDLastSave="8" documentId="8_{EF7C5BF7-89B6-4595-9A76-3E895BB120D4}" xr6:coauthVersionLast="47" xr6:coauthVersionMax="47" xr10:uidLastSave="{AE7BFAD1-7C3E-4AF2-9C3D-9C0826BFC444}"/>
  <bookViews>
    <workbookView xWindow="-108" yWindow="-108" windowWidth="23256" windowHeight="12456" xr2:uid="{417575DF-DA0E-4032-8DE6-AC635C40A92A}"/>
  </bookViews>
  <sheets>
    <sheet name="experiments" sheetId="1" r:id="rId1"/>
  </sheets>
  <calcPr calcId="0"/>
</workbook>
</file>

<file path=xl/calcChain.xml><?xml version="1.0" encoding="utf-8"?>
<calcChain xmlns="http://schemas.openxmlformats.org/spreadsheetml/2006/main">
  <c r="I15" i="1" l="1"/>
  <c r="I16" i="1"/>
  <c r="I17" i="1"/>
  <c r="I14" i="1"/>
  <c r="H17" i="1"/>
  <c r="H16" i="1"/>
  <c r="H15" i="1"/>
  <c r="H14" i="1"/>
</calcChain>
</file>

<file path=xl/sharedStrings.xml><?xml version="1.0" encoding="utf-8"?>
<sst xmlns="http://schemas.openxmlformats.org/spreadsheetml/2006/main" count="7" uniqueCount="7">
  <si>
    <t>trial</t>
  </si>
  <si>
    <t>collision_count</t>
  </si>
  <si>
    <t>success_rate</t>
  </si>
  <si>
    <t>Mean Success Rate /%</t>
  </si>
  <si>
    <t>Separation_weight</t>
  </si>
  <si>
    <t>Separation Weight</t>
  </si>
  <si>
    <t>Mean Collision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</si>
</sst>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969652230971128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025371828521441E-2"/>
          <c:y val="0.19486111111111112"/>
          <c:w val="0.87439129483814526"/>
          <c:h val="0.67956677520509168"/>
        </c:manualLayout>
      </c:layout>
      <c:scatterChart>
        <c:scatterStyle val="lineMarker"/>
        <c:varyColors val="0"/>
        <c:ser>
          <c:idx val="0"/>
          <c:order val="0"/>
          <c:tx>
            <c:strRef>
              <c:f>experiments!$H$13</c:f>
              <c:strCache>
                <c:ptCount val="1"/>
                <c:pt idx="0">
                  <c:v>Mean Success Rate /%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experiments!$G$14:$G$17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</c:numCache>
            </c:numRef>
          </c:xVal>
          <c:yVal>
            <c:numRef>
              <c:f>experiments!$H$14:$H$17</c:f>
              <c:numCache>
                <c:formatCode>General</c:formatCode>
                <c:ptCount val="4"/>
                <c:pt idx="0">
                  <c:v>92.6</c:v>
                </c:pt>
                <c:pt idx="1">
                  <c:v>89.4</c:v>
                </c:pt>
                <c:pt idx="2">
                  <c:v>45.199999999999989</c:v>
                </c:pt>
                <c:pt idx="3">
                  <c:v>16.8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E-4BE8-BB59-9049B2670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076496"/>
        <c:axId val="395766480"/>
      </c:scatterChart>
      <c:valAx>
        <c:axId val="39607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Separation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66480"/>
        <c:crosses val="autoZero"/>
        <c:crossBetween val="midCat"/>
      </c:valAx>
      <c:valAx>
        <c:axId val="39576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Success Rate /%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7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4203849518809"/>
          <c:y val="0.17171296296296298"/>
          <c:w val="0.84905796150481194"/>
          <c:h val="0.69348024205307657"/>
        </c:manualLayout>
      </c:layout>
      <c:scatterChart>
        <c:scatterStyle val="lineMarker"/>
        <c:varyColors val="0"/>
        <c:ser>
          <c:idx val="0"/>
          <c:order val="0"/>
          <c:tx>
            <c:strRef>
              <c:f>experiments!$I$13</c:f>
              <c:strCache>
                <c:ptCount val="1"/>
                <c:pt idx="0">
                  <c:v>Mean Collision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experiments!$G$14:$G$17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</c:numCache>
            </c:numRef>
          </c:xVal>
          <c:yVal>
            <c:numRef>
              <c:f>experiments!$I$14:$I$17</c:f>
              <c:numCache>
                <c:formatCode>General</c:formatCode>
                <c:ptCount val="4"/>
                <c:pt idx="0">
                  <c:v>28546.5</c:v>
                </c:pt>
                <c:pt idx="1">
                  <c:v>18752.2</c:v>
                </c:pt>
                <c:pt idx="2">
                  <c:v>14582.8</c:v>
                </c:pt>
                <c:pt idx="3">
                  <c:v>9640.7999999999993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0-423A-ACD9-ECFF6EB4D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05968"/>
        <c:axId val="395604240"/>
      </c:scatterChart>
      <c:valAx>
        <c:axId val="3953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Separation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04240"/>
        <c:crosses val="autoZero"/>
        <c:crossBetween val="midCat"/>
      </c:valAx>
      <c:valAx>
        <c:axId val="39560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Collision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113489</xdr:colOff>
      <xdr:row>17</xdr:row>
      <xdr:rowOff>152400</xdr:rowOff>
    </xdr:from>
    <xdr:to>
      <xdr:col>8</xdr:col>
      <xdr:colOff>445851</xdr:colOff>
      <xdr:row>33</xdr:row>
      <xdr:rowOff>40532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4561E3-E5F4-6F4B-E666-62459D742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559338</xdr:colOff>
      <xdr:row>17</xdr:row>
      <xdr:rowOff>152398</xdr:rowOff>
    </xdr:from>
    <xdr:to>
      <xdr:col>14</xdr:col>
      <xdr:colOff>397212</xdr:colOff>
      <xdr:row>33</xdr:row>
      <xdr:rowOff>42151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904415-CEF0-461E-00CF-7A5C0E543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9C61-F534-4BFE-BE1D-3B64F1281CE9}">
  <dimension ref="A1:I41"/>
  <sheetViews>
    <sheetView tabSelected="1" topLeftCell="A10" zoomScale="94" zoomScaleNormal="94" workbookViewId="0">
      <selection activeCell="I37" sqref="I37"/>
    </sheetView>
  </sheetViews>
  <sheetFormatPr defaultRowHeight="13.8"/>
  <cols>
    <col min="1" max="1" width="15.59765625" customWidth="1"/>
    <col min="2" max="2" width="5.8984375" customWidth="1"/>
    <col min="3" max="3" width="13.3984375" customWidth="1"/>
    <col min="4" max="4" width="12.796875" customWidth="1"/>
    <col min="7" max="7" width="17.796875" customWidth="1"/>
    <col min="8" max="8" width="20.19921875" customWidth="1"/>
    <col min="9" max="9" width="22.296875" customWidth="1"/>
  </cols>
  <sheetData>
    <row r="1" spans="1:9">
      <c r="A1" t="s">
        <v>4</v>
      </c>
      <c r="B1" t="s">
        <v>0</v>
      </c>
      <c r="C1" t="s">
        <v>1</v>
      </c>
      <c r="D1" t="s">
        <v>2</v>
      </c>
    </row>
    <row r="2" spans="1:9">
      <c r="A2">
        <v>0.5</v>
      </c>
      <c r="B2">
        <v>1</v>
      </c>
      <c r="C2">
        <v>29321</v>
      </c>
      <c r="D2">
        <v>88</v>
      </c>
    </row>
    <row r="3" spans="1:9">
      <c r="A3">
        <v>0.5</v>
      </c>
      <c r="B3">
        <v>2</v>
      </c>
      <c r="C3">
        <v>28236</v>
      </c>
      <c r="D3">
        <v>84</v>
      </c>
    </row>
    <row r="4" spans="1:9">
      <c r="A4">
        <v>0.5</v>
      </c>
      <c r="B4">
        <v>3</v>
      </c>
      <c r="C4">
        <v>28379</v>
      </c>
      <c r="D4">
        <v>86</v>
      </c>
    </row>
    <row r="5" spans="1:9">
      <c r="A5">
        <v>0.5</v>
      </c>
      <c r="B5">
        <v>4</v>
      </c>
      <c r="C5">
        <v>29645</v>
      </c>
      <c r="D5">
        <v>98</v>
      </c>
    </row>
    <row r="6" spans="1:9">
      <c r="A6">
        <v>0.5</v>
      </c>
      <c r="B6">
        <v>5</v>
      </c>
      <c r="C6">
        <v>29574</v>
      </c>
      <c r="D6">
        <v>92</v>
      </c>
    </row>
    <row r="7" spans="1:9">
      <c r="A7">
        <v>0.5</v>
      </c>
      <c r="B7">
        <v>6</v>
      </c>
      <c r="C7">
        <v>26101</v>
      </c>
      <c r="D7">
        <v>86</v>
      </c>
    </row>
    <row r="8" spans="1:9">
      <c r="A8">
        <v>0.5</v>
      </c>
      <c r="B8">
        <v>7</v>
      </c>
      <c r="C8">
        <v>29744</v>
      </c>
      <c r="D8">
        <v>98</v>
      </c>
    </row>
    <row r="9" spans="1:9">
      <c r="A9">
        <v>0.5</v>
      </c>
      <c r="B9">
        <v>8</v>
      </c>
      <c r="C9">
        <v>24339</v>
      </c>
      <c r="D9">
        <v>94</v>
      </c>
    </row>
    <row r="10" spans="1:9">
      <c r="A10">
        <v>0.5</v>
      </c>
      <c r="B10">
        <v>9</v>
      </c>
      <c r="C10">
        <v>30370</v>
      </c>
      <c r="D10">
        <v>100</v>
      </c>
    </row>
    <row r="11" spans="1:9">
      <c r="A11">
        <v>0.5</v>
      </c>
      <c r="B11">
        <v>10</v>
      </c>
      <c r="C11">
        <v>29756</v>
      </c>
      <c r="D11">
        <v>100</v>
      </c>
    </row>
    <row r="12" spans="1:9">
      <c r="A12">
        <v>1</v>
      </c>
      <c r="B12">
        <v>1</v>
      </c>
      <c r="C12">
        <v>19451</v>
      </c>
      <c r="D12">
        <v>94</v>
      </c>
    </row>
    <row r="13" spans="1:9">
      <c r="A13">
        <v>1</v>
      </c>
      <c r="B13">
        <v>2</v>
      </c>
      <c r="C13">
        <v>18411</v>
      </c>
      <c r="D13">
        <v>92</v>
      </c>
      <c r="G13" t="s">
        <v>5</v>
      </c>
      <c r="H13" t="s">
        <v>3</v>
      </c>
      <c r="I13" t="s">
        <v>6</v>
      </c>
    </row>
    <row r="14" spans="1:9">
      <c r="A14">
        <v>1</v>
      </c>
      <c r="B14">
        <v>3</v>
      </c>
      <c r="C14">
        <v>19339</v>
      </c>
      <c r="D14">
        <v>90</v>
      </c>
      <c r="G14">
        <v>0.5</v>
      </c>
      <c r="H14">
        <f>AVERAGEIF(A:A,G14,D:D)</f>
        <v>92.6</v>
      </c>
      <c r="I14">
        <f>AVERAGEIF(A:A,G14,C:C)</f>
        <v>28546.5</v>
      </c>
    </row>
    <row r="15" spans="1:9">
      <c r="A15">
        <v>1</v>
      </c>
      <c r="B15">
        <v>4</v>
      </c>
      <c r="C15">
        <v>18334</v>
      </c>
      <c r="D15">
        <v>84</v>
      </c>
      <c r="G15">
        <v>1</v>
      </c>
      <c r="H15">
        <f>AVERAGEIF(A:A,G15,D:D)</f>
        <v>89.4</v>
      </c>
      <c r="I15">
        <f t="shared" ref="I15:I17" si="0">AVERAGEIF(A:A,G15,C:C)</f>
        <v>18752.2</v>
      </c>
    </row>
    <row r="16" spans="1:9">
      <c r="A16">
        <v>1</v>
      </c>
      <c r="B16">
        <v>5</v>
      </c>
      <c r="C16">
        <v>18446</v>
      </c>
      <c r="D16">
        <v>90</v>
      </c>
      <c r="G16">
        <v>2</v>
      </c>
      <c r="H16">
        <f>AVERAGEIF(A:A,G16,D:D)</f>
        <v>45.199999999999989</v>
      </c>
      <c r="I16">
        <f t="shared" si="0"/>
        <v>14582.8</v>
      </c>
    </row>
    <row r="17" spans="1:9">
      <c r="A17">
        <v>1</v>
      </c>
      <c r="B17">
        <v>6</v>
      </c>
      <c r="C17">
        <v>20052</v>
      </c>
      <c r="D17">
        <v>90</v>
      </c>
      <c r="G17">
        <v>4</v>
      </c>
      <c r="H17">
        <f>AVERAGEIF(A:A,G17,D:D)</f>
        <v>16.8</v>
      </c>
      <c r="I17">
        <f t="shared" si="0"/>
        <v>9640.7999999999993</v>
      </c>
    </row>
    <row r="18" spans="1:9">
      <c r="A18">
        <v>1</v>
      </c>
      <c r="B18">
        <v>7</v>
      </c>
      <c r="C18">
        <v>18977</v>
      </c>
      <c r="D18">
        <v>94</v>
      </c>
    </row>
    <row r="19" spans="1:9">
      <c r="A19">
        <v>1</v>
      </c>
      <c r="B19">
        <v>8</v>
      </c>
      <c r="C19">
        <v>18361</v>
      </c>
      <c r="D19">
        <v>80</v>
      </c>
    </row>
    <row r="20" spans="1:9">
      <c r="A20">
        <v>1</v>
      </c>
      <c r="B20">
        <v>9</v>
      </c>
      <c r="C20">
        <v>19375</v>
      </c>
      <c r="D20">
        <v>98</v>
      </c>
    </row>
    <row r="21" spans="1:9">
      <c r="A21">
        <v>1</v>
      </c>
      <c r="B21">
        <v>10</v>
      </c>
      <c r="C21">
        <v>16776</v>
      </c>
      <c r="D21">
        <v>82</v>
      </c>
    </row>
    <row r="22" spans="1:9">
      <c r="A22">
        <v>2</v>
      </c>
      <c r="B22">
        <v>1</v>
      </c>
      <c r="C22">
        <v>14513</v>
      </c>
      <c r="D22">
        <v>40</v>
      </c>
    </row>
    <row r="23" spans="1:9">
      <c r="A23">
        <v>2</v>
      </c>
      <c r="B23">
        <v>2</v>
      </c>
      <c r="C23">
        <v>13850</v>
      </c>
      <c r="D23">
        <v>52</v>
      </c>
    </row>
    <row r="24" spans="1:9">
      <c r="A24">
        <v>2</v>
      </c>
      <c r="B24">
        <v>3</v>
      </c>
      <c r="C24">
        <v>14210</v>
      </c>
      <c r="D24">
        <v>64</v>
      </c>
    </row>
    <row r="25" spans="1:9">
      <c r="A25">
        <v>2</v>
      </c>
      <c r="B25">
        <v>4</v>
      </c>
      <c r="C25">
        <v>15637</v>
      </c>
      <c r="D25">
        <v>20</v>
      </c>
    </row>
    <row r="26" spans="1:9">
      <c r="A26">
        <v>2</v>
      </c>
      <c r="B26">
        <v>5</v>
      </c>
      <c r="C26">
        <v>14471</v>
      </c>
      <c r="D26">
        <v>64</v>
      </c>
    </row>
    <row r="27" spans="1:9">
      <c r="A27">
        <v>2</v>
      </c>
      <c r="B27">
        <v>6</v>
      </c>
      <c r="C27">
        <v>15256</v>
      </c>
      <c r="D27">
        <v>26</v>
      </c>
    </row>
    <row r="28" spans="1:9">
      <c r="A28">
        <v>2</v>
      </c>
      <c r="B28">
        <v>7</v>
      </c>
      <c r="C28">
        <v>13936</v>
      </c>
      <c r="D28">
        <v>62</v>
      </c>
    </row>
    <row r="29" spans="1:9">
      <c r="A29">
        <v>2</v>
      </c>
      <c r="B29">
        <v>8</v>
      </c>
      <c r="C29">
        <v>15155</v>
      </c>
      <c r="D29">
        <v>22</v>
      </c>
    </row>
    <row r="30" spans="1:9">
      <c r="A30">
        <v>2</v>
      </c>
      <c r="B30">
        <v>9</v>
      </c>
      <c r="C30">
        <v>14468</v>
      </c>
      <c r="D30">
        <v>44</v>
      </c>
    </row>
    <row r="31" spans="1:9">
      <c r="A31">
        <v>2</v>
      </c>
      <c r="B31">
        <v>10</v>
      </c>
      <c r="C31">
        <v>14332</v>
      </c>
      <c r="D31">
        <v>57.999999999999901</v>
      </c>
    </row>
    <row r="32" spans="1:9">
      <c r="A32">
        <v>4</v>
      </c>
      <c r="B32">
        <v>1</v>
      </c>
      <c r="C32">
        <v>9655</v>
      </c>
      <c r="D32">
        <v>20</v>
      </c>
    </row>
    <row r="33" spans="1:4">
      <c r="A33">
        <v>4</v>
      </c>
      <c r="B33">
        <v>2</v>
      </c>
      <c r="C33">
        <v>9439</v>
      </c>
      <c r="D33">
        <v>16</v>
      </c>
    </row>
    <row r="34" spans="1:4">
      <c r="A34">
        <v>4</v>
      </c>
      <c r="B34">
        <v>3</v>
      </c>
      <c r="C34">
        <v>9697</v>
      </c>
      <c r="D34">
        <v>16</v>
      </c>
    </row>
    <row r="35" spans="1:4">
      <c r="A35">
        <v>4</v>
      </c>
      <c r="B35">
        <v>4</v>
      </c>
      <c r="C35">
        <v>9575</v>
      </c>
      <c r="D35">
        <v>18</v>
      </c>
    </row>
    <row r="36" spans="1:4">
      <c r="A36">
        <v>4</v>
      </c>
      <c r="B36">
        <v>5</v>
      </c>
      <c r="C36">
        <v>9544</v>
      </c>
      <c r="D36">
        <v>16</v>
      </c>
    </row>
    <row r="37" spans="1:4">
      <c r="A37">
        <v>4</v>
      </c>
      <c r="B37">
        <v>6</v>
      </c>
      <c r="C37">
        <v>9701</v>
      </c>
      <c r="D37">
        <v>16</v>
      </c>
    </row>
    <row r="38" spans="1:4">
      <c r="A38">
        <v>4</v>
      </c>
      <c r="B38">
        <v>7</v>
      </c>
      <c r="C38">
        <v>9868</v>
      </c>
      <c r="D38">
        <v>18</v>
      </c>
    </row>
    <row r="39" spans="1:4">
      <c r="A39">
        <v>4</v>
      </c>
      <c r="B39">
        <v>8</v>
      </c>
      <c r="C39">
        <v>9443</v>
      </c>
      <c r="D39">
        <v>16</v>
      </c>
    </row>
    <row r="40" spans="1:4">
      <c r="A40">
        <v>4</v>
      </c>
      <c r="B40">
        <v>9</v>
      </c>
      <c r="C40">
        <v>9888</v>
      </c>
      <c r="D40">
        <v>14</v>
      </c>
    </row>
    <row r="41" spans="1:4">
      <c r="A41">
        <v>4</v>
      </c>
      <c r="B41">
        <v>10</v>
      </c>
      <c r="C41">
        <v>9598</v>
      </c>
      <c r="D41">
        <v>18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CE502C78B074E9ECAA07829B30B20" ma:contentTypeVersion="1" ma:contentTypeDescription="Create a new document." ma:contentTypeScope="" ma:versionID="bd1756d043502aa985ff5a8b18b76e0f">
  <xsd:schema xmlns:xsd="http://www.w3.org/2001/XMLSchema" xmlns:xs="http://www.w3.org/2001/XMLSchema" xmlns:p="http://schemas.microsoft.com/office/2006/metadata/properties" xmlns:ns3="cf07d929-909a-4eff-9c3e-8619caef6661" targetNamespace="http://schemas.microsoft.com/office/2006/metadata/properties" ma:root="true" ma:fieldsID="cf10a779dce2e3239975b3855eba21c1" ns3:_="">
    <xsd:import namespace="cf07d929-909a-4eff-9c3e-8619caef666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7d929-909a-4eff-9c3e-8619caef666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184260-6F83-4265-9FC8-7DEAD70E7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7d929-909a-4eff-9c3e-8619caef66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6FD6C6-3E3F-44D1-95C8-492640F22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F867F-B1CF-4131-8DA4-2479CC1A4586}">
  <ds:schemaRefs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cf07d929-909a-4eff-9c3e-8619caef6661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AL ATTAS, HAZIQ (UG)</cp:lastModifiedBy>
  <dcterms:created xsi:type="dcterms:W3CDTF">2026-09-18T17:10:38Z</dcterms:created>
  <dcterms:modified xsi:type="dcterms:W3CDTF">2026-09-18T17:14:53Z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0x0101006E9CE502C78B074E9ECAA07829B30B20</vt:lpwstr>
  </property>
</Properties>
</file>